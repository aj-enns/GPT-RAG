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Detailed Breakdown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Caveats &amp; Notes" sheetId="5" state="visible" r:id="rId5"/>
  </sheets>
  <definedNames>
    <definedName name="ChatsPerMonth">Assumptions!$B$10</definedName>
    <definedName name="TokensIn">Assumptions!$B$11</definedName>
    <definedName name="TokensOut">Assumptions!$B$12</definedName>
    <definedName name="CorpusGB">Assumptions!$B$13</definedName>
    <definedName name="TextRatio">Assumptions!$B$14</definedName>
    <definedName name="TokPerKB">Assumptions!$B$15</definedName>
    <definedName name="RefreshRate">Assumptions!$B$16</definedName>
    <definedName name="AOAI_In">Assumptions!$B$18</definedName>
    <definedName name="AOAI_Out">Assumptions!$B$19</definedName>
    <definedName name="EmbPrice">Assumptions!$B$20</definedName>
    <definedName name="SearchUnit">Assumptions!$B$21</definedName>
    <definedName name="SearchPartitions">Assumptions!$B$22</definedName>
    <definedName name="SearchReplicas">Assumptions!$B$23</definedName>
    <definedName name="SemanticPrice">Assumptions!$B$24</definedName>
    <definedName name="CosmosMaxRU">Assumptions!$B$25</definedName>
    <definedName name="CosmosUtil">Assumptions!$B$26</definedName>
    <definedName name="CosmosRUPrice">Assumptions!$B$27</definedName>
    <definedName name="ACA_D4">Assumptions!$B$28</definedName>
    <definedName name="ACR_Prem">Assumptions!$B$29</definedName>
    <definedName name="Bastion">Assumptions!$B$30</definedName>
    <definedName name="VM_PAYG">Assumptions!$B$31</definedName>
    <definedName name="VM_Disk">Assumptions!$B$32</definedName>
    <definedName name="PECount">Assumptions!$B$33</definedName>
    <definedName name="PEPrice">Assumptions!$B$34</definedName>
    <definedName name="DNSPrice">Assumptions!$B$35</definedName>
    <definedName name="Storage">Assumptions!$B$36</definedName>
    <definedName name="AppCfg">Assumptions!$B$37</definedName>
    <definedName name="KV">Assumptions!$B$38</definedName>
    <definedName name="Monitor">Assumptions!$B$39</definedName>
    <definedName name="RI_Search">Assumptions!$B$41</definedName>
    <definedName name="RI_Cosmos">Assumptions!$B$42</definedName>
    <definedName name="RI_VM">Assumptions!$B$43</definedName>
    <definedName name="RI_AOAI">Assumptions!$B$44</definedName>
    <definedName name="_xlnm._FilterDatabase" localSheetId="0" hidden="1">'Cost Summary'!$A$3:$G$18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_($* #,##0.00_);_($* (#,##0.00);_($* &quot;-&quot;??_);_(@_)"/>
    <numFmt numFmtId="166" formatCode="_($* #,##0_);_($* (#,##0);_($* &quot;-&quot;_);_(@_)"/>
    <numFmt numFmtId="167" formatCode="#,##0.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</font>
    <font>
      <name val="Arial"/>
      <b val="1"/>
    </font>
    <font>
      <name val="Arial"/>
      <color rgb="000000FF"/>
    </font>
    <font>
      <name val="Arial"/>
      <color rgb="00595959"/>
      <sz val="10"/>
    </font>
    <font>
      <name val="Arial"/>
      <color rgb="00000000"/>
    </font>
    <font>
      <name val="Arial"/>
      <b val="1"/>
      <color rgb="00000000"/>
    </font>
    <font>
      <name val="Arial"/>
      <b val="1"/>
      <color rgb="00C00000"/>
    </font>
    <font>
      <name val="Arial"/>
      <b val="1"/>
      <color rgb="0000B050"/>
    </font>
  </fonts>
  <fills count="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6" fontId="6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  <xf numFmtId="0" fontId="3" fillId="4" borderId="0" pivotButton="0" quotePrefix="0" xfId="0"/>
    <xf numFmtId="0" fontId="0" fillId="4" borderId="0" pivotButton="0" quotePrefix="0" xfId="0"/>
    <xf numFmtId="166" fontId="3" fillId="4" borderId="1" applyAlignment="1" pivotButton="0" quotePrefix="0" xfId="0">
      <alignment horizontal="right" vertical="center"/>
    </xf>
    <xf numFmtId="0" fontId="7" fillId="0" borderId="0" pivotButton="0" quotePrefix="0" xfId="0"/>
    <xf numFmtId="166" fontId="8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164" fontId="9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  <xf numFmtId="165" fontId="6" fillId="0" borderId="1" applyAlignment="1" pivotButton="0" quotePrefix="0" xfId="0">
      <alignment horizontal="right" vertical="center"/>
    </xf>
    <xf numFmtId="167" fontId="6" fillId="0" borderId="1" applyAlignment="1" pivotButton="0" quotePrefix="0" xfId="0">
      <alignment horizontal="right" vertical="center"/>
    </xf>
    <xf numFmtId="166" fontId="3" fillId="4" borderId="0" applyAlignment="1" pivotButton="0" quotePrefix="0" xfId="0">
      <alignment horizontal="right" vertical="center"/>
    </xf>
    <xf numFmtId="166" fontId="0" fillId="0" borderId="0" applyAlignment="1" pivotButton="0" quotePrefix="0" xfId="0">
      <alignment horizontal="right" vertical="center"/>
    </xf>
    <xf numFmtId="166" fontId="9" fillId="4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  <col width="16" customWidth="1" min="3" max="3"/>
    <col width="16" customWidth="1" min="4" max="4"/>
    <col width="16" customWidth="1" min="5" max="5"/>
    <col width="16" customWidth="1" min="6" max="6"/>
    <col width="44" customWidth="1" min="7" max="7"/>
  </cols>
  <sheetData>
    <row r="1">
      <c r="A1" s="1" t="inlineStr">
        <is>
          <t>GPT-RAG — Monthly &amp; Annual Cost Summary (Canada Central, Zero Trust)</t>
        </is>
      </c>
    </row>
    <row r="3">
      <c r="A3" s="2" t="inlineStr">
        <is>
          <t>Service</t>
        </is>
      </c>
      <c r="B3" s="2" t="inlineStr">
        <is>
          <t>SKU / Config</t>
        </is>
      </c>
      <c r="C3" s="2" t="inlineStr">
        <is>
          <t>Monthly PAYG ($)</t>
        </is>
      </c>
      <c r="D3" s="2" t="inlineStr">
        <is>
          <t>Monthly 1-yr ($)</t>
        </is>
      </c>
      <c r="E3" s="2" t="inlineStr">
        <is>
          <t>Annual PAYG ($)</t>
        </is>
      </c>
      <c r="F3" s="2" t="inlineStr">
        <is>
          <t>Annual 1-yr ($)</t>
        </is>
      </c>
      <c r="G3" s="2" t="inlineStr">
        <is>
          <t>Optimization Note</t>
        </is>
      </c>
    </row>
    <row r="4">
      <c r="A4" s="3" t="inlineStr">
        <is>
          <t>Azure OpenAI — chat (gpt-4o)</t>
        </is>
      </c>
      <c r="B4" s="3" t="inlineStr">
        <is>
          <t>GlobalStandard, PAYG</t>
        </is>
      </c>
      <c r="C4" s="4">
        <f>ChatsPerMonth*((TokensIn/1000)*AOAI_In + (TokensOut/1000)*AOAI_Out)</f>
        <v/>
      </c>
      <c r="D4" s="4">
        <f>C4*(1-RI_AOAI)</f>
        <v/>
      </c>
      <c r="E4" s="4">
        <f>C4*12</f>
        <v/>
      </c>
      <c r="F4" s="4">
        <f>D4*12</f>
        <v/>
      </c>
      <c r="G4" s="5" t="inlineStr">
        <is>
          <t>Token-priced; PTU not economical &lt; ~150K chats/mo</t>
        </is>
      </c>
    </row>
    <row r="5">
      <c r="A5" s="3" t="inlineStr">
        <is>
          <t>Azure OpenAI — embeddings</t>
        </is>
      </c>
      <c r="B5" s="3" t="inlineStr">
        <is>
          <t>text-embedding-3-large</t>
        </is>
      </c>
      <c r="C5" s="4">
        <f>(CorpusGB*1024*1024*TextRatio*TokPerKB*RefreshRate/1000)*EmbPrice</f>
        <v/>
      </c>
      <c r="D5" s="4">
        <f>C5</f>
        <v/>
      </c>
      <c r="E5" s="4">
        <f>C5*12</f>
        <v/>
      </c>
      <c r="F5" s="4">
        <f>D5*12</f>
        <v/>
      </c>
      <c r="G5" s="5" t="inlineStr">
        <is>
          <t>One-time initial load not included; see Sensitivity sheet</t>
        </is>
      </c>
    </row>
    <row r="6">
      <c r="A6" s="3" t="inlineStr">
        <is>
          <t>Azure AI Search</t>
        </is>
      </c>
      <c r="B6" s="3" t="inlineStr">
        <is>
          <t>Standard S1, 2 partitions × 2 replicas</t>
        </is>
      </c>
      <c r="C6" s="4">
        <f>SearchUnit*SearchPartitions*SearchReplicas</f>
        <v/>
      </c>
      <c r="D6" s="4">
        <f>C6*(1-RI_Search)</f>
        <v/>
      </c>
      <c r="E6" s="4">
        <f>C6*12</f>
        <v/>
      </c>
      <c r="F6" s="4">
        <f>D6*12</f>
        <v/>
      </c>
      <c r="G6" s="5" t="inlineStr">
        <is>
          <t>No RI offered; right-size partitions/replicas to cut cost</t>
        </is>
      </c>
    </row>
    <row r="7">
      <c r="A7" s="3" t="inlineStr">
        <is>
          <t>Azure AI Search — semantic ranker</t>
        </is>
      </c>
      <c r="B7" s="3" t="inlineStr">
        <is>
          <t>Per-query, S1</t>
        </is>
      </c>
      <c r="C7" s="4">
        <f>MAX(0,(ChatsPerMonth-1000))/1000*SemanticPrice</f>
        <v/>
      </c>
      <c r="D7" s="4">
        <f>C7</f>
        <v/>
      </c>
      <c r="E7" s="4">
        <f>C7*12</f>
        <v/>
      </c>
      <c r="F7" s="4">
        <f>D7*12</f>
        <v/>
      </c>
      <c r="G7" s="5" t="inlineStr">
        <is>
          <t>First 1K queries/mo free</t>
        </is>
      </c>
    </row>
    <row r="8">
      <c r="A8" s="3" t="inlineStr">
        <is>
          <t>Cosmos DB</t>
        </is>
      </c>
      <c r="B8" s="3" t="inlineStr">
        <is>
          <t>Autoscale 1K–10K RU/s</t>
        </is>
      </c>
      <c r="C8" s="4">
        <f>MAX(CosmosMaxRU*0.1, CosmosMaxRU*CosmosUtil)*730*CosmosRUPrice/100</f>
        <v/>
      </c>
      <c r="D8" s="4">
        <f>C8*(1-RI_Cosmos)</f>
        <v/>
      </c>
      <c r="E8" s="4">
        <f>C8*12</f>
        <v/>
      </c>
      <c r="F8" s="4">
        <f>D8*12</f>
        <v/>
      </c>
      <c r="G8" s="5" t="inlineStr">
        <is>
          <t>1-yr RC saves ~20%; consider serverless if usage &lt;30%</t>
        </is>
      </c>
    </row>
    <row r="9">
      <c r="A9" s="3" t="inlineStr">
        <is>
          <t>Container Apps (D4 profile)</t>
        </is>
      </c>
      <c r="B9" s="3" t="inlineStr">
        <is>
          <t>Dedicated D4, 1 instance</t>
        </is>
      </c>
      <c r="C9" s="4">
        <f>ACA_D4</f>
        <v/>
      </c>
      <c r="D9" s="4">
        <f>C9</f>
        <v/>
      </c>
      <c r="E9" s="4">
        <f>C9*12</f>
        <v/>
      </c>
      <c r="F9" s="4">
        <f>D9*12</f>
        <v/>
      </c>
      <c r="G9" s="5" t="inlineStr">
        <is>
          <t>Hosts orchestrator/frontend/dataingest/mcp on shared profile</t>
        </is>
      </c>
    </row>
    <row r="10">
      <c r="A10" s="3" t="inlineStr">
        <is>
          <t>Container Registry</t>
        </is>
      </c>
      <c r="B10" s="3" t="inlineStr">
        <is>
          <t>Premium (REQUIRED for PE)</t>
        </is>
      </c>
      <c r="C10" s="4">
        <f>ACR_Prem</f>
        <v/>
      </c>
      <c r="D10" s="4">
        <f>C10</f>
        <v/>
      </c>
      <c r="E10" s="4">
        <f>C10*12</f>
        <v/>
      </c>
      <c r="F10" s="4">
        <f>D10*12</f>
        <v/>
      </c>
      <c r="G10" s="5" t="inlineStr">
        <is>
          <t>Standard ($20) is NOT an option under Zero Trust</t>
        </is>
      </c>
    </row>
    <row r="11">
      <c r="A11" s="3" t="inlineStr">
        <is>
          <t>Azure Bastion</t>
        </is>
      </c>
      <c r="B11" s="3" t="inlineStr">
        <is>
          <t>Standard, 730 hr</t>
        </is>
      </c>
      <c r="C11" s="4">
        <f>Bastion</f>
        <v/>
      </c>
      <c r="D11" s="4">
        <f>C11</f>
        <v/>
      </c>
      <c r="E11" s="4">
        <f>C11*12</f>
        <v/>
      </c>
      <c r="F11" s="4">
        <f>D11*12</f>
        <v/>
      </c>
      <c r="G11" s="5" t="inlineStr">
        <is>
          <t>Required for jump VM access; remove if VM removed</t>
        </is>
      </c>
    </row>
    <row r="12">
      <c r="A12" s="3" t="inlineStr">
        <is>
          <t>Jump VM</t>
        </is>
      </c>
      <c r="B12" s="3" t="inlineStr">
        <is>
          <t>D2s_v3 + P10 disk</t>
        </is>
      </c>
      <c r="C12" s="4">
        <f>VM_PAYG+VM_Disk</f>
        <v/>
      </c>
      <c r="D12" s="4">
        <f>VM_PAYG*(1-RI_VM)+VM_Disk</f>
        <v/>
      </c>
      <c r="E12" s="4">
        <f>C12*12</f>
        <v/>
      </c>
      <c r="F12" s="4">
        <f>D12*12</f>
        <v/>
      </c>
      <c r="G12" s="5" t="inlineStr">
        <is>
          <t>1-yr RI ~35% off; consider auto-shutdown</t>
        </is>
      </c>
    </row>
    <row r="13">
      <c r="A13" s="3" t="inlineStr">
        <is>
          <t>Private Endpoints</t>
        </is>
      </c>
      <c r="B13" s="3" t="inlineStr">
        <is>
          <t>~12 endpoints</t>
        </is>
      </c>
      <c r="C13" s="4">
        <f>PECount*PEPrice</f>
        <v/>
      </c>
      <c r="D13" s="4">
        <f>C13</f>
        <v/>
      </c>
      <c r="E13" s="4">
        <f>C13*12</f>
        <v/>
      </c>
      <c r="F13" s="4">
        <f>D13*12</f>
        <v/>
      </c>
      <c r="G13" s="5" t="inlineStr">
        <is>
          <t>One per data-plane PaaS</t>
        </is>
      </c>
    </row>
    <row r="14">
      <c r="A14" s="3" t="inlineStr">
        <is>
          <t>Storage Account</t>
        </is>
      </c>
      <c r="B14" s="3" t="inlineStr">
        <is>
          <t>Blob Standard LRS, ~60 GB</t>
        </is>
      </c>
      <c r="C14" s="4">
        <f>Storage</f>
        <v/>
      </c>
      <c r="D14" s="4">
        <f>C14</f>
        <v/>
      </c>
      <c r="E14" s="4">
        <f>C14*12</f>
        <v/>
      </c>
      <c r="F14" s="4">
        <f>D14*12</f>
        <v/>
      </c>
      <c r="G14" s="5" t="inlineStr">
        <is>
          <t>Documents, images, conversation cache</t>
        </is>
      </c>
    </row>
    <row r="15">
      <c r="A15" s="3" t="inlineStr">
        <is>
          <t>App Configuration</t>
        </is>
      </c>
      <c r="B15" s="3" t="inlineStr">
        <is>
          <t>Standard + PE</t>
        </is>
      </c>
      <c r="C15" s="4">
        <f>AppCfg</f>
        <v/>
      </c>
      <c r="D15" s="4">
        <f>C15</f>
        <v/>
      </c>
      <c r="E15" s="4">
        <f>C15*12</f>
        <v/>
      </c>
      <c r="F15" s="4">
        <f>D15*12</f>
        <v/>
      </c>
      <c r="G15" s="5" t="inlineStr">
        <is>
          <t>Centralized runtime config</t>
        </is>
      </c>
    </row>
    <row r="16">
      <c r="A16" s="3" t="inlineStr">
        <is>
          <t>Key Vault</t>
        </is>
      </c>
      <c r="B16" s="3" t="inlineStr">
        <is>
          <t>Standard + PE</t>
        </is>
      </c>
      <c r="C16" s="4">
        <f>KV</f>
        <v/>
      </c>
      <c r="D16" s="4">
        <f>C16</f>
        <v/>
      </c>
      <c r="E16" s="4">
        <f>C16*12</f>
        <v/>
      </c>
      <c r="F16" s="4">
        <f>D16*12</f>
        <v/>
      </c>
      <c r="G16" s="5" t="inlineStr">
        <is>
          <t>Secret operations</t>
        </is>
      </c>
    </row>
    <row r="17">
      <c r="A17" s="3" t="inlineStr">
        <is>
          <t>Monitor (Log Analytics + AI)</t>
        </is>
      </c>
      <c r="B17" s="3" t="inlineStr">
        <is>
          <t>Pay-as-you-go ingestion</t>
        </is>
      </c>
      <c r="C17" s="4">
        <f>Monitor</f>
        <v/>
      </c>
      <c r="D17" s="4">
        <f>C17</f>
        <v/>
      </c>
      <c r="E17" s="4">
        <f>C17*12</f>
        <v/>
      </c>
      <c r="F17" s="4">
        <f>D17*12</f>
        <v/>
      </c>
      <c r="G17" s="5" t="inlineStr">
        <is>
          <t>~30 GB/mo telemetry — cap with daily limit</t>
        </is>
      </c>
    </row>
    <row r="18">
      <c r="A18" s="3" t="inlineStr">
        <is>
          <t>Private DNS zones</t>
        </is>
      </c>
      <c r="B18" s="3" t="inlineStr">
        <is>
          <t>~12 zones</t>
        </is>
      </c>
      <c r="C18" s="4">
        <f>DNSPrice</f>
        <v/>
      </c>
      <c r="D18" s="4">
        <f>C18</f>
        <v/>
      </c>
      <c r="E18" s="4">
        <f>C18*12</f>
        <v/>
      </c>
      <c r="F18" s="4">
        <f>D18*12</f>
        <v/>
      </c>
      <c r="G18" s="5" t="inlineStr">
        <is>
          <t>Negligible</t>
        </is>
      </c>
    </row>
    <row r="19">
      <c r="A19" s="6" t="inlineStr">
        <is>
          <t>TOTAL</t>
        </is>
      </c>
      <c r="B19" s="7" t="inlineStr"/>
      <c r="C19" s="8">
        <f>SUM(C4:C18)</f>
        <v/>
      </c>
      <c r="D19" s="8">
        <f>SUM(D4:D18)</f>
        <v/>
      </c>
      <c r="E19" s="8">
        <f>SUM(E4:E18)</f>
        <v/>
      </c>
      <c r="F19" s="8">
        <f>SUM(F4:F18)</f>
        <v/>
      </c>
      <c r="G19" s="7" t="n"/>
    </row>
    <row r="21">
      <c r="A21" s="9" t="inlineStr">
        <is>
          <t>Monthly PAYG total</t>
        </is>
      </c>
      <c r="C21" s="10">
        <f>C19</f>
        <v/>
      </c>
    </row>
    <row r="22">
      <c r="A22" s="9" t="inlineStr">
        <is>
          <t>Annual PAYG total</t>
        </is>
      </c>
      <c r="C22" s="10">
        <f>E19</f>
        <v/>
      </c>
    </row>
    <row r="23">
      <c r="A23" s="9" t="inlineStr">
        <is>
          <t>Annual savings vs PAYG (1-yr commitments)</t>
        </is>
      </c>
      <c r="C23" s="11">
        <f>E19-F19</f>
        <v/>
      </c>
    </row>
    <row r="24">
      <c r="A24" s="9" t="inlineStr">
        <is>
          <t>Savings %</t>
        </is>
      </c>
      <c r="C24" s="12">
        <f>(E19-F19)/E19</f>
        <v/>
      </c>
    </row>
  </sheetData>
  <autoFilter ref="A3:G18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55" customWidth="1" min="3" max="3"/>
    <col width="12" customWidth="1" min="4" max="4"/>
  </cols>
  <sheetData>
    <row r="1">
      <c r="A1" s="1" t="inlineStr">
        <is>
          <t>GPT-RAG — Production Cost Assumptions</t>
        </is>
      </c>
    </row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Source / Rationale</t>
        </is>
      </c>
      <c r="D3" s="2" t="inlineStr">
        <is>
          <t>Sensitivity</t>
        </is>
      </c>
    </row>
    <row r="4">
      <c r="A4" s="13" t="inlineStr">
        <is>
          <t>Target region</t>
        </is>
      </c>
      <c r="B4" s="14" t="inlineStr">
        <is>
          <t>Canada Central</t>
        </is>
      </c>
      <c r="C4" s="5" t="inlineStr">
        <is>
          <t>User selection</t>
        </is>
      </c>
      <c r="D4" s="15" t="inlineStr">
        <is>
          <t>High</t>
        </is>
      </c>
    </row>
    <row r="5">
      <c r="A5" s="13" t="inlineStr">
        <is>
          <t>Network posture</t>
        </is>
      </c>
      <c r="B5" s="14" t="inlineStr">
        <is>
          <t>Zero Trust</t>
        </is>
      </c>
      <c r="C5" s="5" t="inlineStr">
        <is>
          <t>User selection</t>
        </is>
      </c>
      <c r="D5" s="15" t="inlineStr">
        <is>
          <t>High</t>
        </is>
      </c>
    </row>
    <row r="6">
      <c r="A6" s="13" t="inlineStr">
        <is>
          <t>Contract type</t>
        </is>
      </c>
      <c r="B6" s="14" t="inlineStr">
        <is>
          <t>PAYG (no EA)</t>
        </is>
      </c>
      <c r="C6" s="5" t="inlineStr">
        <is>
          <t>User selection</t>
        </is>
      </c>
      <c r="D6" s="15" t="inlineStr">
        <is>
          <t>High</t>
        </is>
      </c>
    </row>
    <row r="7">
      <c r="A7" s="13" t="inlineStr">
        <is>
          <t>Currency</t>
        </is>
      </c>
      <c r="B7" s="14" t="inlineStr">
        <is>
          <t>USD</t>
        </is>
      </c>
      <c r="C7" s="5" t="inlineStr">
        <is>
          <t>Pricing convention</t>
        </is>
      </c>
      <c r="D7" s="15" t="inlineStr">
        <is>
          <t>Med</t>
        </is>
      </c>
    </row>
    <row r="8">
      <c r="A8" s="13" t="inlineStr">
        <is>
          <t>Reservation term (compare)</t>
        </is>
      </c>
      <c r="B8" s="14" t="inlineStr">
        <is>
          <t>1-year</t>
        </is>
      </c>
      <c r="C8" s="5" t="inlineStr">
        <is>
          <t>User selection</t>
        </is>
      </c>
      <c r="D8" s="15" t="inlineStr">
        <is>
          <t>Med</t>
        </is>
      </c>
    </row>
    <row r="10">
      <c r="A10" s="13" t="inlineStr">
        <is>
          <t>Chats per month</t>
        </is>
      </c>
      <c r="B10" s="16" t="n">
        <v>50000</v>
      </c>
      <c r="C10" s="5" t="inlineStr">
        <is>
          <t>Medium-scale department workload</t>
        </is>
      </c>
      <c r="D10" s="15" t="inlineStr">
        <is>
          <t>High</t>
        </is>
      </c>
    </row>
    <row r="11">
      <c r="A11" s="13" t="inlineStr">
        <is>
          <t>Avg input tokens / chat</t>
        </is>
      </c>
      <c r="B11" s="16" t="n">
        <v>3000</v>
      </c>
      <c r="C11" s="5" t="inlineStr">
        <is>
          <t>System + RAG context + 2-3 turn history</t>
        </is>
      </c>
      <c r="D11" s="15" t="inlineStr">
        <is>
          <t>High</t>
        </is>
      </c>
    </row>
    <row r="12">
      <c r="A12" s="13" t="inlineStr">
        <is>
          <t>Avg output tokens / chat</t>
        </is>
      </c>
      <c r="B12" s="16" t="n">
        <v>500</v>
      </c>
      <c r="C12" s="5" t="inlineStr">
        <is>
          <t>Typical RAG answer length</t>
        </is>
      </c>
      <c r="D12" s="15" t="inlineStr">
        <is>
          <t>Med</t>
        </is>
      </c>
    </row>
    <row r="13">
      <c r="A13" s="13" t="inlineStr">
        <is>
          <t>Document corpus (GB raw)</t>
        </is>
      </c>
      <c r="B13" s="16" t="n">
        <v>50</v>
      </c>
      <c r="C13" s="5" t="inlineStr">
        <is>
          <t>User selection — medium scale</t>
        </is>
      </c>
      <c r="D13" s="15" t="inlineStr">
        <is>
          <t>Med</t>
        </is>
      </c>
    </row>
    <row r="14">
      <c r="A14" s="13" t="inlineStr">
        <is>
          <t>Text-to-raw ratio</t>
        </is>
      </c>
      <c r="B14" s="17" t="n">
        <v>0.2</v>
      </c>
      <c r="C14" s="5" t="inlineStr">
        <is>
          <t>OCR/extracted text ≈ 20% of raw mixed media</t>
        </is>
      </c>
      <c r="D14" s="15" t="inlineStr">
        <is>
          <t>Low</t>
        </is>
      </c>
    </row>
    <row r="15">
      <c r="A15" s="13" t="inlineStr">
        <is>
          <t>Embedding tokens per KB text</t>
        </is>
      </c>
      <c r="B15" s="16" t="n">
        <v>250</v>
      </c>
      <c r="C15" s="5" t="inlineStr">
        <is>
          <t>~4 chars/token, 1 KB ≈ 250 tokens</t>
        </is>
      </c>
      <c r="D15" s="15" t="inlineStr">
        <is>
          <t>Low</t>
        </is>
      </c>
    </row>
    <row r="16">
      <c r="A16" s="13" t="inlineStr">
        <is>
          <t>Corpus refresh rate / month</t>
        </is>
      </c>
      <c r="B16" s="17" t="n">
        <v>0.1</v>
      </c>
      <c r="C16" s="5" t="inlineStr">
        <is>
          <t>Typical enterprise document churn</t>
        </is>
      </c>
      <c r="D16" s="15" t="inlineStr">
        <is>
          <t>Low</t>
        </is>
      </c>
    </row>
    <row r="18">
      <c r="A18" s="13" t="inlineStr">
        <is>
          <t>gpt-4o input $/1K tokens</t>
        </is>
      </c>
      <c r="B18" s="18" t="n">
        <v>0.0025</v>
      </c>
      <c r="C18" s="5" t="inlineStr">
        <is>
          <t>Azure retail, GlobalStandard, mid-2026</t>
        </is>
      </c>
      <c r="D18" s="15" t="inlineStr">
        <is>
          <t>High</t>
        </is>
      </c>
    </row>
    <row r="19">
      <c r="A19" s="13" t="inlineStr">
        <is>
          <t>gpt-4o output $/1K tokens</t>
        </is>
      </c>
      <c r="B19" s="18" t="n">
        <v>0.01</v>
      </c>
      <c r="C19" s="5" t="inlineStr">
        <is>
          <t>Azure retail, GlobalStandard, mid-2026</t>
        </is>
      </c>
      <c r="D19" s="15" t="inlineStr">
        <is>
          <t>High</t>
        </is>
      </c>
    </row>
    <row r="20">
      <c r="A20" s="13" t="inlineStr">
        <is>
          <t>embedding-3-large $/1K tokens</t>
        </is>
      </c>
      <c r="B20" s="18" t="n">
        <v>0.00013</v>
      </c>
      <c r="C20" s="5" t="inlineStr">
        <is>
          <t>Azure retail</t>
        </is>
      </c>
      <c r="D20" s="15" t="inlineStr">
        <is>
          <t>Low</t>
        </is>
      </c>
    </row>
    <row r="21">
      <c r="A21" s="13" t="inlineStr">
        <is>
          <t>AI Search S1 unit $/mo</t>
        </is>
      </c>
      <c r="B21" s="18" t="n">
        <v>248.2</v>
      </c>
      <c r="C21" s="5" t="inlineStr">
        <is>
          <t>Canada Central retail</t>
        </is>
      </c>
      <c r="D21" s="15" t="inlineStr">
        <is>
          <t>High</t>
        </is>
      </c>
    </row>
    <row r="22">
      <c r="A22" s="13" t="inlineStr">
        <is>
          <t>AI Search partitions</t>
        </is>
      </c>
      <c r="B22" s="16" t="n">
        <v>2</v>
      </c>
      <c r="C22" s="5" t="inlineStr">
        <is>
          <t>50 GB needs 2 × 25GB partitions</t>
        </is>
      </c>
      <c r="D22" s="15" t="inlineStr">
        <is>
          <t>High</t>
        </is>
      </c>
    </row>
    <row r="23">
      <c r="A23" s="13" t="inlineStr">
        <is>
          <t>AI Search replicas (HA)</t>
        </is>
      </c>
      <c r="B23" s="16" t="n">
        <v>2</v>
      </c>
      <c r="C23" s="5" t="inlineStr">
        <is>
          <t>2 for query HA + indexing</t>
        </is>
      </c>
      <c r="D23" s="15" t="inlineStr">
        <is>
          <t>High</t>
        </is>
      </c>
    </row>
    <row r="24">
      <c r="A24" s="13" t="inlineStr">
        <is>
          <t>Semantic ranker $/1K queries</t>
        </is>
      </c>
      <c r="B24" s="18" t="n">
        <v>1</v>
      </c>
      <c r="C24" s="5" t="inlineStr">
        <is>
          <t>Standard tier, first 1K free</t>
        </is>
      </c>
      <c r="D24" s="15" t="inlineStr">
        <is>
          <t>Low</t>
        </is>
      </c>
    </row>
    <row r="25">
      <c r="A25" s="13" t="inlineStr">
        <is>
          <t>Cosmos autoscale max RU/s</t>
        </is>
      </c>
      <c r="B25" s="16" t="n">
        <v>10000</v>
      </c>
      <c r="C25" s="5" t="inlineStr">
        <is>
          <t>Burst headroom for chat traffic</t>
        </is>
      </c>
      <c r="D25" s="15" t="inlineStr">
        <is>
          <t>Med</t>
        </is>
      </c>
    </row>
    <row r="26">
      <c r="A26" s="13" t="inlineStr">
        <is>
          <t>Cosmos avg utilization</t>
        </is>
      </c>
      <c r="B26" s="17" t="n">
        <v>0.2</v>
      </c>
      <c r="C26" s="5" t="inlineStr">
        <is>
          <t>Autoscale bills max(10% of max, used)</t>
        </is>
      </c>
      <c r="D26" s="15" t="inlineStr">
        <is>
          <t>Med</t>
        </is>
      </c>
    </row>
    <row r="27">
      <c r="A27" s="13" t="inlineStr">
        <is>
          <t>Cosmos RU $/100 RU/hr</t>
        </is>
      </c>
      <c r="B27" s="18" t="n">
        <v>0.012</v>
      </c>
      <c r="C27" s="5" t="inlineStr">
        <is>
          <t>Autoscale standard rate</t>
        </is>
      </c>
      <c r="D27" s="15" t="inlineStr">
        <is>
          <t>Med</t>
        </is>
      </c>
    </row>
    <row r="28">
      <c r="A28" s="13" t="inlineStr">
        <is>
          <t>Container Apps D4 profile $/mo</t>
        </is>
      </c>
      <c r="B28" s="18" t="n">
        <v>146</v>
      </c>
      <c r="C28" s="5" t="inlineStr">
        <is>
          <t>Dedicated D4 profile, single instance</t>
        </is>
      </c>
      <c r="D28" s="15" t="inlineStr">
        <is>
          <t>Med</t>
        </is>
      </c>
    </row>
    <row r="29">
      <c r="A29" s="13" t="inlineStr">
        <is>
          <t>Container Registry Premium $/mo</t>
        </is>
      </c>
      <c r="B29" s="18" t="n">
        <v>667</v>
      </c>
      <c r="C29" s="5" t="inlineStr">
        <is>
          <t>REQUIRED for private endpoints</t>
        </is>
      </c>
      <c r="D29" s="15" t="inlineStr">
        <is>
          <t>High</t>
        </is>
      </c>
    </row>
    <row r="30">
      <c r="A30" s="13" t="inlineStr">
        <is>
          <t>Azure Bastion Standard $/mo</t>
        </is>
      </c>
      <c r="B30" s="18" t="n">
        <v>139</v>
      </c>
      <c r="C30" s="5" t="inlineStr">
        <is>
          <t>Required for jump VM access (730 hr)</t>
        </is>
      </c>
      <c r="D30" s="15" t="inlineStr">
        <is>
          <t>Med</t>
        </is>
      </c>
    </row>
    <row r="31">
      <c r="A31" s="13" t="inlineStr">
        <is>
          <t>Jump VM D2s_v3 $/mo PAYG</t>
        </is>
      </c>
      <c r="B31" s="18" t="n">
        <v>70</v>
      </c>
      <c r="C31" s="5" t="inlineStr">
        <is>
          <t>Linux, 730 hr</t>
        </is>
      </c>
      <c r="D31" s="15" t="inlineStr">
        <is>
          <t>Low</t>
        </is>
      </c>
    </row>
    <row r="32">
      <c r="A32" s="13" t="inlineStr">
        <is>
          <t>Jump VM disk + OS $/mo</t>
        </is>
      </c>
      <c r="B32" s="18" t="n">
        <v>10</v>
      </c>
      <c r="C32" s="5" t="inlineStr">
        <is>
          <t>P10 64GB premium SSD</t>
        </is>
      </c>
      <c r="D32" s="15" t="inlineStr">
        <is>
          <t>Low</t>
        </is>
      </c>
    </row>
    <row r="33">
      <c r="A33" s="13" t="inlineStr">
        <is>
          <t>Private endpoints (count)</t>
        </is>
      </c>
      <c r="B33" s="16" t="n">
        <v>12</v>
      </c>
      <c r="C33" s="5" t="inlineStr">
        <is>
          <t>One per data-plane PaaS</t>
        </is>
      </c>
      <c r="D33" s="15" t="inlineStr">
        <is>
          <t>Low</t>
        </is>
      </c>
    </row>
    <row r="34">
      <c r="A34" s="13" t="inlineStr">
        <is>
          <t>Private endpoint $/mo each</t>
        </is>
      </c>
      <c r="B34" s="18" t="n">
        <v>7.3</v>
      </c>
      <c r="C34" s="5" t="inlineStr">
        <is>
          <t>Hosting + 10 GB processing typical</t>
        </is>
      </c>
      <c r="D34" s="15" t="inlineStr">
        <is>
          <t>Low</t>
        </is>
      </c>
    </row>
    <row r="35">
      <c r="A35" s="13" t="inlineStr">
        <is>
          <t>Private DNS zones $/mo total</t>
        </is>
      </c>
      <c r="B35" s="18" t="n">
        <v>6</v>
      </c>
      <c r="C35" s="5" t="inlineStr">
        <is>
          <t>12 zones × $0.50</t>
        </is>
      </c>
      <c r="D35" s="15" t="inlineStr">
        <is>
          <t>Low</t>
        </is>
      </c>
    </row>
    <row r="36">
      <c r="A36" s="13" t="inlineStr">
        <is>
          <t>Storage Account $/mo</t>
        </is>
      </c>
      <c r="B36" s="18" t="n">
        <v>15</v>
      </c>
      <c r="C36" s="5" t="inlineStr">
        <is>
          <t>~60 GB blob LRS hot + transactions</t>
        </is>
      </c>
      <c r="D36" s="15" t="inlineStr">
        <is>
          <t>Low</t>
        </is>
      </c>
    </row>
    <row r="37">
      <c r="A37" s="13" t="inlineStr">
        <is>
          <t>App Configuration Std $/mo</t>
        </is>
      </c>
      <c r="B37" s="18" t="n">
        <v>44</v>
      </c>
      <c r="C37" s="5" t="inlineStr">
        <is>
          <t>Standard tier + PE</t>
        </is>
      </c>
      <c r="D37" s="15" t="inlineStr">
        <is>
          <t>Low</t>
        </is>
      </c>
    </row>
    <row r="38">
      <c r="A38" s="13" t="inlineStr">
        <is>
          <t>Key Vault Std $/mo</t>
        </is>
      </c>
      <c r="B38" s="18" t="n">
        <v>10</v>
      </c>
      <c r="C38" s="5" t="inlineStr">
        <is>
          <t>Operations + PE</t>
        </is>
      </c>
      <c r="D38" s="15" t="inlineStr">
        <is>
          <t>Low</t>
        </is>
      </c>
    </row>
    <row r="39">
      <c r="A39" s="13" t="inlineStr">
        <is>
          <t>Log Analytics + App Insights $/mo</t>
        </is>
      </c>
      <c r="B39" s="18" t="n">
        <v>75</v>
      </c>
      <c r="C39" s="5" t="inlineStr">
        <is>
          <t>~30 GB ingest PAYG</t>
        </is>
      </c>
      <c r="D39" s="15" t="inlineStr">
        <is>
          <t>Med</t>
        </is>
      </c>
    </row>
    <row r="41">
      <c r="A41" s="13" t="inlineStr">
        <is>
          <t>AI Search RI discount</t>
        </is>
      </c>
      <c r="B41" s="17" t="n">
        <v>0</v>
      </c>
      <c r="C41" s="5" t="inlineStr">
        <is>
          <t>Not available for AI Search</t>
        </is>
      </c>
      <c r="D41" s="15" t="inlineStr">
        <is>
          <t>Low</t>
        </is>
      </c>
    </row>
    <row r="42">
      <c r="A42" s="13" t="inlineStr">
        <is>
          <t>Cosmos 1-yr reserved discount</t>
        </is>
      </c>
      <c r="B42" s="17" t="n">
        <v>0.2</v>
      </c>
      <c r="C42" s="5" t="inlineStr">
        <is>
          <t>Typical 1-yr RC for Cosmos</t>
        </is>
      </c>
      <c r="D42" s="15" t="inlineStr">
        <is>
          <t>Low</t>
        </is>
      </c>
    </row>
    <row r="43">
      <c r="A43" s="13" t="inlineStr">
        <is>
          <t>VM 1-yr RI discount</t>
        </is>
      </c>
      <c r="B43" s="17" t="n">
        <v>0.35</v>
      </c>
      <c r="C43" s="5" t="inlineStr">
        <is>
          <t>D2s_v3 1-yr standard RI</t>
        </is>
      </c>
      <c r="D43" s="15" t="inlineStr">
        <is>
          <t>Low</t>
        </is>
      </c>
    </row>
    <row r="44">
      <c r="A44" s="13" t="inlineStr">
        <is>
          <t>AOAI PTU savings vs PAYG</t>
        </is>
      </c>
      <c r="B44" s="17" t="n">
        <v>0</v>
      </c>
      <c r="C44" s="5" t="inlineStr">
        <is>
          <t>PTU not viable at this TPM scale</t>
        </is>
      </c>
      <c r="D44" s="15" t="inlineStr">
        <is>
          <t>Med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22" customWidth="1" min="3" max="3"/>
    <col width="16" customWidth="1" min="4" max="4"/>
    <col width="18" customWidth="1" min="5" max="5"/>
    <col width="18" customWidth="1" min="6" max="6"/>
  </cols>
  <sheetData>
    <row r="1">
      <c r="A1" s="1" t="inlineStr">
        <is>
          <t>Cost Dimension Breakdown</t>
        </is>
      </c>
    </row>
    <row r="3">
      <c r="A3" s="2" t="inlineStr">
        <is>
          <t>Service</t>
        </is>
      </c>
      <c r="B3" s="2" t="inlineStr">
        <is>
          <t>Dimension</t>
        </is>
      </c>
      <c r="C3" s="2" t="inlineStr">
        <is>
          <t>Unit</t>
        </is>
      </c>
      <c r="D3" s="2" t="inlineStr">
        <is>
          <t>Unit Price ($)</t>
        </is>
      </c>
      <c r="E3" s="2" t="inlineStr">
        <is>
          <t>Est. Qty / mo</t>
        </is>
      </c>
      <c r="F3" s="2" t="inlineStr">
        <is>
          <t>Monthly Cost ($)</t>
        </is>
      </c>
    </row>
    <row r="4">
      <c r="A4" s="19" t="inlineStr">
        <is>
          <t>Azure OpenAI — chat</t>
        </is>
      </c>
      <c r="B4" s="19" t="inlineStr">
        <is>
          <t>Compute (input tokens)</t>
        </is>
      </c>
      <c r="C4" s="19" t="inlineStr">
        <is>
          <t>1K input tokens</t>
        </is>
      </c>
      <c r="D4" s="20">
        <f>AOAI_In</f>
        <v/>
      </c>
      <c r="E4" s="21">
        <f>ChatsPerMonth*TokensIn/1000</f>
        <v/>
      </c>
      <c r="F4" s="4">
        <f>D4*E4</f>
        <v/>
      </c>
    </row>
    <row r="5">
      <c r="A5" s="19" t="inlineStr">
        <is>
          <t>Azure OpenAI — chat</t>
        </is>
      </c>
      <c r="B5" s="19" t="inlineStr">
        <is>
          <t>Compute (output tokens)</t>
        </is>
      </c>
      <c r="C5" s="19" t="inlineStr">
        <is>
          <t>1K output tokens</t>
        </is>
      </c>
      <c r="D5" s="20">
        <f>AOAI_Out</f>
        <v/>
      </c>
      <c r="E5" s="21">
        <f>ChatsPerMonth*TokensOut/1000</f>
        <v/>
      </c>
      <c r="F5" s="4">
        <f>D5*E5</f>
        <v/>
      </c>
    </row>
    <row r="6">
      <c r="A6" s="19" t="inlineStr">
        <is>
          <t>Azure OpenAI — embeddings</t>
        </is>
      </c>
      <c r="B6" s="19" t="inlineStr">
        <is>
          <t>Compute (tokens)</t>
        </is>
      </c>
      <c r="C6" s="19" t="inlineStr">
        <is>
          <t>1K tokens</t>
        </is>
      </c>
      <c r="D6" s="20">
        <f>EmbPrice</f>
        <v/>
      </c>
      <c r="E6" s="21">
        <f>CorpusGB*1024*1024*TextRatio*TokPerKB*RefreshRate/1000</f>
        <v/>
      </c>
      <c r="F6" s="4">
        <f>D6*E6</f>
        <v/>
      </c>
    </row>
    <row r="7">
      <c r="A7" s="19" t="inlineStr">
        <is>
          <t>Azure AI Search</t>
        </is>
      </c>
      <c r="B7" s="19" t="inlineStr">
        <is>
          <t>Compute (search units)</t>
        </is>
      </c>
      <c r="C7" s="19" t="inlineStr">
        <is>
          <t>S1 SU / mo</t>
        </is>
      </c>
      <c r="D7" s="20">
        <f>SearchUnit</f>
        <v/>
      </c>
      <c r="E7" s="21">
        <f>SearchPartitions*SearchReplicas</f>
        <v/>
      </c>
      <c r="F7" s="4">
        <f>D7*E7</f>
        <v/>
      </c>
    </row>
    <row r="8">
      <c r="A8" s="19" t="inlineStr">
        <is>
          <t>Azure AI Search</t>
        </is>
      </c>
      <c r="B8" s="19" t="inlineStr">
        <is>
          <t>Transactions (semantic)</t>
        </is>
      </c>
      <c r="C8" s="19" t="inlineStr">
        <is>
          <t>1K queries</t>
        </is>
      </c>
      <c r="D8" s="20">
        <f>SemanticPrice</f>
        <v/>
      </c>
      <c r="E8" s="21">
        <f>MAX(0,(ChatsPerMonth-1000))/1000</f>
        <v/>
      </c>
      <c r="F8" s="4">
        <f>D8*E8</f>
        <v/>
      </c>
    </row>
    <row r="9">
      <c r="A9" s="19" t="inlineStr">
        <is>
          <t>Cosmos DB</t>
        </is>
      </c>
      <c r="B9" s="19" t="inlineStr">
        <is>
          <t>Compute (RU/s)</t>
        </is>
      </c>
      <c r="C9" s="19" t="inlineStr">
        <is>
          <t>100 RU/hr</t>
        </is>
      </c>
      <c r="D9" s="20">
        <f>CosmosRUPrice</f>
        <v/>
      </c>
      <c r="E9" s="21">
        <f>MAX(CosmosMaxRU*0.1, CosmosMaxRU*CosmosUtil)*730/100</f>
        <v/>
      </c>
      <c r="F9" s="4">
        <f>D9*E9</f>
        <v/>
      </c>
    </row>
    <row r="10">
      <c r="A10" s="19" t="inlineStr">
        <is>
          <t>Container Apps</t>
        </is>
      </c>
      <c r="B10" s="19" t="inlineStr">
        <is>
          <t>Compute (workload profile)</t>
        </is>
      </c>
      <c r="C10" s="19" t="inlineStr">
        <is>
          <t>D4 profile / mo</t>
        </is>
      </c>
      <c r="D10" s="20">
        <f>ACA_D4</f>
        <v/>
      </c>
      <c r="E10" s="21" t="n">
        <v>1</v>
      </c>
      <c r="F10" s="4">
        <f>D10*E10</f>
        <v/>
      </c>
    </row>
    <row r="11">
      <c r="A11" s="19" t="inlineStr">
        <is>
          <t>Container Registry</t>
        </is>
      </c>
      <c r="B11" s="19" t="inlineStr">
        <is>
          <t>Hosting</t>
        </is>
      </c>
      <c r="C11" s="19" t="inlineStr">
        <is>
          <t>Premium / mo</t>
        </is>
      </c>
      <c r="D11" s="20">
        <f>ACR_Prem</f>
        <v/>
      </c>
      <c r="E11" s="21" t="n">
        <v>1</v>
      </c>
      <c r="F11" s="4">
        <f>D11*E11</f>
        <v/>
      </c>
    </row>
    <row r="12">
      <c r="A12" s="19" t="inlineStr">
        <is>
          <t>Azure Bastion</t>
        </is>
      </c>
      <c r="B12" s="19" t="inlineStr">
        <is>
          <t>Hosting</t>
        </is>
      </c>
      <c r="C12" s="19" t="inlineStr">
        <is>
          <t>Std / mo</t>
        </is>
      </c>
      <c r="D12" s="20">
        <f>Bastion</f>
        <v/>
      </c>
      <c r="E12" s="21" t="n">
        <v>1</v>
      </c>
      <c r="F12" s="4">
        <f>D12*E12</f>
        <v/>
      </c>
    </row>
    <row r="13">
      <c r="A13" s="19" t="inlineStr">
        <is>
          <t>Jump VM</t>
        </is>
      </c>
      <c r="B13" s="19" t="inlineStr">
        <is>
          <t>Compute</t>
        </is>
      </c>
      <c r="C13" s="19" t="inlineStr">
        <is>
          <t>D2s_v3 / mo</t>
        </is>
      </c>
      <c r="D13" s="20">
        <f>VM_PAYG</f>
        <v/>
      </c>
      <c r="E13" s="21" t="n">
        <v>1</v>
      </c>
      <c r="F13" s="4">
        <f>D13*E13</f>
        <v/>
      </c>
    </row>
    <row r="14">
      <c r="A14" s="19" t="inlineStr">
        <is>
          <t>Jump VM</t>
        </is>
      </c>
      <c r="B14" s="19" t="inlineStr">
        <is>
          <t>Storage</t>
        </is>
      </c>
      <c r="C14" s="19" t="inlineStr">
        <is>
          <t>P10 disk / mo</t>
        </is>
      </c>
      <c r="D14" s="20">
        <f>VM_Disk</f>
        <v/>
      </c>
      <c r="E14" s="21" t="n">
        <v>1</v>
      </c>
      <c r="F14" s="4">
        <f>D14*E14</f>
        <v/>
      </c>
    </row>
    <row r="15">
      <c r="A15" s="19" t="inlineStr">
        <is>
          <t>Networking</t>
        </is>
      </c>
      <c r="B15" s="19" t="inlineStr">
        <is>
          <t>Private Endpoints</t>
        </is>
      </c>
      <c r="C15" s="19" t="inlineStr">
        <is>
          <t>PE / mo</t>
        </is>
      </c>
      <c r="D15" s="20">
        <f>PEPrice</f>
        <v/>
      </c>
      <c r="E15" s="21">
        <f>PECount</f>
        <v/>
      </c>
      <c r="F15" s="4">
        <f>D15*E15</f>
        <v/>
      </c>
    </row>
    <row r="16">
      <c r="A16" s="19" t="inlineStr">
        <is>
          <t>Networking</t>
        </is>
      </c>
      <c r="B16" s="19" t="inlineStr">
        <is>
          <t>Private DNS zones</t>
        </is>
      </c>
      <c r="C16" s="19" t="inlineStr">
        <is>
          <t>Total / mo</t>
        </is>
      </c>
      <c r="D16" s="20">
        <f>DNSPrice</f>
        <v/>
      </c>
      <c r="E16" s="21" t="n">
        <v>1</v>
      </c>
      <c r="F16" s="4">
        <f>D16*E16</f>
        <v/>
      </c>
    </row>
    <row r="17">
      <c r="A17" s="19" t="inlineStr">
        <is>
          <t>Storage Account</t>
        </is>
      </c>
      <c r="B17" s="19" t="inlineStr">
        <is>
          <t>Storage + transactions</t>
        </is>
      </c>
      <c r="C17" s="19" t="inlineStr">
        <is>
          <t>Blob LRS / mo</t>
        </is>
      </c>
      <c r="D17" s="20">
        <f>Storage</f>
        <v/>
      </c>
      <c r="E17" s="21" t="n">
        <v>1</v>
      </c>
      <c r="F17" s="4">
        <f>D17*E17</f>
        <v/>
      </c>
    </row>
    <row r="18">
      <c r="A18" s="19" t="inlineStr">
        <is>
          <t>App Configuration</t>
        </is>
      </c>
      <c r="B18" s="19" t="inlineStr">
        <is>
          <t>Hosting</t>
        </is>
      </c>
      <c r="C18" s="19" t="inlineStr">
        <is>
          <t>Std / mo</t>
        </is>
      </c>
      <c r="D18" s="20">
        <f>AppCfg</f>
        <v/>
      </c>
      <c r="E18" s="21" t="n">
        <v>1</v>
      </c>
      <c r="F18" s="4">
        <f>D18*E18</f>
        <v/>
      </c>
    </row>
    <row r="19">
      <c r="A19" s="19" t="inlineStr">
        <is>
          <t>Key Vault</t>
        </is>
      </c>
      <c r="B19" s="19" t="inlineStr">
        <is>
          <t>Operations</t>
        </is>
      </c>
      <c r="C19" s="19" t="inlineStr">
        <is>
          <t>Std / mo</t>
        </is>
      </c>
      <c r="D19" s="20">
        <f>KV</f>
        <v/>
      </c>
      <c r="E19" s="21" t="n">
        <v>1</v>
      </c>
      <c r="F19" s="4">
        <f>D19*E19</f>
        <v/>
      </c>
    </row>
    <row r="20">
      <c r="A20" s="19" t="inlineStr">
        <is>
          <t>Monitor</t>
        </is>
      </c>
      <c r="B20" s="19" t="inlineStr">
        <is>
          <t>Ingestion (Log Analytics + App Insights)</t>
        </is>
      </c>
      <c r="C20" s="19" t="inlineStr">
        <is>
          <t>PAYG / mo</t>
        </is>
      </c>
      <c r="D20" s="20">
        <f>Monitor</f>
        <v/>
      </c>
      <c r="E20" s="21" t="n">
        <v>1</v>
      </c>
      <c r="F20" s="4">
        <f>D20*E20</f>
        <v/>
      </c>
    </row>
    <row r="21">
      <c r="A21" s="6" t="inlineStr">
        <is>
          <t>TOTAL Monthly</t>
        </is>
      </c>
      <c r="F21" s="22">
        <f>SUM(F4:F20)</f>
        <v/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60" customWidth="1" min="4" max="4"/>
  </cols>
  <sheetData>
    <row r="1">
      <c r="A1" s="1" t="inlineStr">
        <is>
          <t>Sensitivity &amp; Scenario Analysis</t>
        </is>
      </c>
    </row>
    <row r="3">
      <c r="A3" s="2" t="inlineStr">
        <is>
          <t>Scenario / Lever</t>
        </is>
      </c>
      <c r="B3" s="2" t="inlineStr">
        <is>
          <t>Monthly Δ ($)</t>
        </is>
      </c>
      <c r="C3" s="2" t="inlineStr">
        <is>
          <t>Annual Δ ($)</t>
        </is>
      </c>
      <c r="D3" s="2" t="inlineStr">
        <is>
          <t>Notes</t>
        </is>
      </c>
    </row>
    <row r="4">
      <c r="A4" s="3" t="inlineStr">
        <is>
          <t>Switch chat model to gpt-5.4-nano (current default)</t>
        </is>
      </c>
      <c r="B4" s="4">
        <f>-(ChatsPerMonth*((TokensIn/1000)*AOAI_In+(TokensOut/1000)*AOAI_Out)*0.95)</f>
        <v/>
      </c>
      <c r="C4" s="4">
        <f>B4*12</f>
        <v/>
      </c>
      <c r="D4" s="5" t="inlineStr">
        <is>
          <t>gpt-5.4-nano is ~$0.00015 in / $0.0006 out per 1K — ~95% reduction</t>
        </is>
      </c>
    </row>
    <row r="5">
      <c r="A5" s="3" t="inlineStr">
        <is>
          <t>Drop to Standalone (no Zero Trust)</t>
        </is>
      </c>
      <c r="B5" s="4">
        <f>-(ACR_Prem-20) - Bastion - (VM_PAYG+VM_Disk) - PECount*PEPrice</f>
        <v/>
      </c>
      <c r="C5" s="4">
        <f>B5*12</f>
        <v/>
      </c>
      <c r="D5" s="5" t="inlineStr">
        <is>
          <t>Premium ACR -&gt; Basic; no Bastion/VM/PEs; keep all PaaS public + RBAC</t>
        </is>
      </c>
    </row>
    <row r="6">
      <c r="A6" s="3" t="inlineStr">
        <is>
          <t>AI Search: 1 partition × 1 replica (no HA)</t>
        </is>
      </c>
      <c r="B6" s="4">
        <f>-SearchUnit*(SearchPartitions*SearchReplicas - 1)</f>
        <v/>
      </c>
      <c r="C6" s="4">
        <f>B6*12</f>
        <v/>
      </c>
      <c r="D6" s="5" t="inlineStr">
        <is>
          <t>Removes query HA and indexing concurrency — pilot/POC only</t>
        </is>
      </c>
    </row>
    <row r="7">
      <c r="A7" s="3" t="inlineStr">
        <is>
          <t>Add Azure Firewall Standard</t>
        </is>
      </c>
      <c r="B7" s="4">
        <f>910</f>
        <v/>
      </c>
      <c r="C7" s="4">
        <f>B7*12</f>
        <v/>
      </c>
      <c r="D7" s="5" t="inlineStr">
        <is>
          <t>Some ZT patterns front-end with Firewall (730 hr * $1.25)</t>
        </is>
      </c>
    </row>
    <row r="8">
      <c r="A8" s="3" t="inlineStr">
        <is>
          <t>Scale chats 10× (500K/mo)</t>
        </is>
      </c>
      <c r="B8" s="4">
        <f>ChatsPerMonth*9*((TokensIn/1000)*AOAI_In+(TokensOut/1000)*AOAI_Out) + MAX(0,(ChatsPerMonth*10-1000)-(ChatsPerMonth-1000))/1000*SemanticPrice</f>
        <v/>
      </c>
      <c r="C8" s="4">
        <f>B8*12</f>
        <v/>
      </c>
      <c r="D8" s="5" t="inlineStr">
        <is>
          <t>AOAI becomes dominant; consider PTU re-evaluation</t>
        </is>
      </c>
    </row>
    <row r="9">
      <c r="A9" s="3" t="inlineStr">
        <is>
          <t>Enable Bing Grounding (50K queries/mo)</t>
        </is>
      </c>
      <c r="B9" s="4">
        <f>50*7</f>
        <v/>
      </c>
      <c r="C9" s="4">
        <f>B9*12</f>
        <v/>
      </c>
      <c r="D9" s="5" t="inlineStr">
        <is>
          <t>$7 per 1K transactions × 50K</t>
        </is>
      </c>
    </row>
    <row r="10">
      <c r="A10" s="3" t="inlineStr">
        <is>
          <t>Initial corpus embedding load (one-time)</t>
        </is>
      </c>
      <c r="B10" s="4">
        <f>(CorpusGB*1024*1024*TextRatio*TokPerKB/1000)*EmbPrice</f>
        <v/>
      </c>
      <c r="C10" s="4">
        <f>B10*12</f>
        <v/>
      </c>
      <c r="D10" s="5" t="inlineStr">
        <is>
          <t>One-time cost — not recurring; shown for budgeting</t>
        </is>
      </c>
    </row>
    <row r="11">
      <c r="A11" s="3" t="inlineStr">
        <is>
          <t>10% EA discount on AOAI + Cosmos</t>
        </is>
      </c>
      <c r="B11" s="4">
        <f>-0.1*(ChatsPerMonth*((TokensIn/1000)*AOAI_In+(TokensOut/1000)*AOAI_Out) + MAX(CosmosMaxRU*0.1, CosmosMaxRU*CosmosUtil)*730*CosmosRUPrice/100)</f>
        <v/>
      </c>
      <c r="C11" s="4">
        <f>B11*12</f>
        <v/>
      </c>
      <c r="D11" s="5" t="inlineStr">
        <is>
          <t>Typical EA discount; verify with your contract</t>
        </is>
      </c>
    </row>
    <row r="13">
      <c r="A13" s="9" t="inlineStr">
        <is>
          <t>Baseline monthly (Zero Trust, gpt-4o, 50K chats)</t>
        </is>
      </c>
      <c r="B13" s="23">
        <f>'Cost Summary'!C19</f>
        <v/>
      </c>
    </row>
    <row r="14">
      <c r="A14" s="9" t="inlineStr">
        <is>
          <t>If you applied: nano + Standalone + 1×1 Search</t>
        </is>
      </c>
      <c r="B14" s="24">
        <f>'Cost Summary'!C19 + (=-(ChatsPerMonth*((TokensIn/1000)*AOAI_In+(TokensOut/1000)*AOAI_Out)*0.95) - (ACR_Prem-20) - Bastion - (VM_PAYG+VM_Disk) - PECount*PEPrice - SearchUnit*(SearchPartitions*SearchReplicas-1))</f>
        <v/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Caveats, Exclusions, and Methodology</t>
        </is>
      </c>
    </row>
    <row r="3">
      <c r="A3" s="2" t="inlineStr">
        <is>
          <t>Topic</t>
        </is>
      </c>
      <c r="B3" s="2" t="inlineStr">
        <is>
          <t>Detail</t>
        </is>
      </c>
    </row>
    <row r="4" ht="32" customHeight="1">
      <c r="A4" s="25" t="inlineStr">
        <is>
          <t>Pricing source</t>
        </is>
      </c>
      <c r="B4" s="26" t="inlineStr">
        <is>
          <t>Representative Azure retail rates for Canada Central as of mid-2026. No live Pricing API call was made. Verify with the Azure Pricing Calculator before any customer-facing commitment.</t>
        </is>
      </c>
    </row>
    <row r="5" ht="32" customHeight="1">
      <c r="A5" s="25" t="inlineStr">
        <is>
          <t>Currency &amp; contract</t>
        </is>
      </c>
      <c r="B5" s="26" t="inlineStr">
        <is>
          <t>All figures USD, retail pay-as-you-go. Excludes EA / CSP / negotiated discounts (typically 10–20% on AOAI and Cosmos).</t>
        </is>
      </c>
    </row>
    <row r="6" ht="32" customHeight="1">
      <c r="A6" s="25" t="inlineStr">
        <is>
          <t>Tax</t>
        </is>
      </c>
      <c r="B6" s="26" t="inlineStr">
        <is>
          <t>Excludes GST/HST. Add 13% (Ontario) or jurisdiction-equivalent for landed cost.</t>
        </is>
      </c>
    </row>
    <row r="7" ht="32" customHeight="1">
      <c r="A7" s="25" t="inlineStr">
        <is>
          <t>Egress</t>
        </is>
      </c>
      <c r="B7" s="26" t="inlineStr">
        <is>
          <t>Excludes data egress. Add ~$0.087/GB after 100 GB/mo free. Materially impacts cost if frontend serves users outside Canada.</t>
        </is>
      </c>
    </row>
    <row r="8" ht="32" customHeight="1">
      <c r="A8" s="25" t="inlineStr">
        <is>
          <t>AOAI PTU</t>
        </is>
      </c>
      <c r="B8" s="26" t="inlineStr">
        <is>
          <t>PTU pricing not modeled — workload sits well below the 15-PTU minimum for gpt-4o GlobalStandard. Re-evaluate above ~150K chats/mo sustained.</t>
        </is>
      </c>
    </row>
    <row r="9" ht="32" customHeight="1">
      <c r="A9" s="25" t="inlineStr">
        <is>
          <t>Embedding load</t>
        </is>
      </c>
      <c r="B9" s="26" t="inlineStr">
        <is>
          <t>Monthly embedding cost assumes 10% corpus refresh. One-time initial load is in the Sensitivity sheet as a separate line.</t>
        </is>
      </c>
    </row>
    <row r="10" ht="32" customHeight="1">
      <c r="A10" s="25" t="inlineStr">
        <is>
          <t>Reservations</t>
        </is>
      </c>
      <c r="B10" s="26" t="inlineStr">
        <is>
          <t>AI Search has no RI. Cosmos uses 20% reserved capacity discount. Jump VM uses 35% 1-yr RI. AOAI savings = 0 (no PTU at this scale).</t>
        </is>
      </c>
    </row>
    <row r="11" ht="32" customHeight="1">
      <c r="A11" s="25" t="inlineStr">
        <is>
          <t>Network posture</t>
        </is>
      </c>
      <c r="B11" s="26" t="inlineStr">
        <is>
          <t>Zero Trust assumed: Premium ACR, Bastion, jump VM, ~12 private endpoints, private DNS zones. Standalone removes ~$1,500/mo (see Sensitivity).</t>
        </is>
      </c>
    </row>
    <row r="12" ht="32" customHeight="1">
      <c r="A12" s="25" t="inlineStr">
        <is>
          <t>Component repos</t>
        </is>
      </c>
      <c r="B12" s="26" t="inlineStr">
        <is>
          <t>Per manifest.json: gpt-rag-ui v2.3.2, gpt-rag-orchestrator feature/architecture-advisor, gpt-rag-ingestion feature/architecture-advisor. Containers run on shared D4 workload profile.</t>
        </is>
      </c>
    </row>
    <row r="13" ht="32" customHeight="1">
      <c r="A13" s="25" t="inlineStr">
        <is>
          <t>Recalculation</t>
        </is>
      </c>
      <c r="B13" s="26" t="inlineStr">
        <is>
          <t>All values are Excel formulas referencing the Assumptions sheet. Change any blue input cell and totals recalculate.</t>
        </is>
      </c>
    </row>
    <row r="14" ht="32" customHeight="1">
      <c r="A14" s="25" t="inlineStr">
        <is>
          <t>Caveat on Search SKU</t>
        </is>
      </c>
      <c r="B14" s="26" t="inlineStr">
        <is>
          <t>S1 baseline used (768 MB partition, 50 GB storage per partition). For &gt;100 GB or &gt;25 indexes, evaluate S2 or L1.</t>
        </is>
      </c>
    </row>
    <row r="15" ht="32" customHeight="1">
      <c r="A15" s="25" t="inlineStr">
        <is>
          <t>Bing Grounding</t>
        </is>
      </c>
      <c r="B15" s="26" t="inlineStr">
        <is>
          <t>Disabled in current main.parameters.json (deployGroundingWithBing=false). If enabled, see Sensitivity line.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2026-06-09T13:58:50Z</dcterms:created>
  <dcterms:modified xmlns:dcterms="http://purl.org/dc/terms/" xmlns:xsi="http://www.w3.org/2001/XMLSchema-instance" xsi:type="dcterms:W3CDTF">2026-06-09T13:58:50Z</dcterms:modified>
</cp:coreProperties>
</file>